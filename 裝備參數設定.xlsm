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owin\AppData\Local\Temp\"/>
    </mc:Choice>
  </mc:AlternateContent>
  <xr:revisionPtr revIDLastSave="0" documentId="13_ncr:1_{B4601506-025D-4604-AE1B-73701E688000}" xr6:coauthVersionLast="47" xr6:coauthVersionMax="47" xr10:uidLastSave="{00000000-0000-0000-0000-000000000000}"/>
  <bookViews>
    <workbookView xWindow="10320" yWindow="855" windowWidth="14115" windowHeight="12240" firstSheet="1" activeTab="1" xr2:uid="{00000000-000D-0000-FFFF-FFFF00000000}"/>
  </bookViews>
  <sheets>
    <sheet name="工作表1" sheetId="13" state="hidden" r:id="rId1"/>
    <sheet name="工作表2" sheetId="14" r:id="rId2"/>
  </sheets>
  <functionGroups builtInGroupCount="19"/>
  <calcPr calcId="191029"/>
</workbook>
</file>

<file path=xl/calcChain.xml><?xml version="1.0" encoding="utf-8"?>
<calcChain xmlns="http://schemas.openxmlformats.org/spreadsheetml/2006/main">
  <c r="B2" i="14" l="1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G30" i="13"/>
  <c r="F30" i="13"/>
  <c r="E30" i="13"/>
  <c r="D30" i="13"/>
  <c r="C30" i="13"/>
  <c r="H30" i="13" s="1"/>
  <c r="J30" i="13" s="1"/>
  <c r="B30" i="13"/>
  <c r="G29" i="13"/>
  <c r="F29" i="13"/>
  <c r="E29" i="13"/>
  <c r="D29" i="13"/>
  <c r="C29" i="13"/>
  <c r="B29" i="13"/>
  <c r="H29" i="13" s="1"/>
  <c r="J29" i="13" s="1"/>
  <c r="G28" i="13"/>
  <c r="H28" i="13" s="1"/>
  <c r="J28" i="13" s="1"/>
  <c r="F28" i="13"/>
  <c r="E28" i="13"/>
  <c r="D28" i="13"/>
  <c r="C28" i="13"/>
  <c r="B28" i="13"/>
  <c r="G27" i="13"/>
  <c r="F27" i="13"/>
  <c r="E27" i="13"/>
  <c r="D27" i="13"/>
  <c r="C27" i="13"/>
  <c r="H27" i="13" s="1"/>
  <c r="J27" i="13" s="1"/>
  <c r="B27" i="13"/>
  <c r="G26" i="13"/>
  <c r="F26" i="13"/>
  <c r="E26" i="13"/>
  <c r="D26" i="13"/>
  <c r="C26" i="13"/>
  <c r="B26" i="13"/>
  <c r="H26" i="13" s="1"/>
  <c r="J26" i="13" s="1"/>
  <c r="G25" i="13"/>
  <c r="H25" i="13" s="1"/>
  <c r="J25" i="13" s="1"/>
  <c r="F25" i="13"/>
  <c r="E25" i="13"/>
  <c r="D25" i="13"/>
  <c r="C25" i="13"/>
  <c r="B25" i="13"/>
  <c r="G24" i="13"/>
  <c r="F24" i="13"/>
  <c r="E24" i="13"/>
  <c r="D24" i="13"/>
  <c r="C24" i="13"/>
  <c r="H24" i="13" s="1"/>
  <c r="J24" i="13" s="1"/>
  <c r="B24" i="13"/>
  <c r="G22" i="13"/>
  <c r="F22" i="13"/>
  <c r="E22" i="13"/>
  <c r="D22" i="13"/>
  <c r="C22" i="13"/>
  <c r="B22" i="13"/>
  <c r="H22" i="13" s="1"/>
  <c r="J22" i="13" s="1"/>
  <c r="G21" i="13"/>
  <c r="H21" i="13" s="1"/>
  <c r="J21" i="13" s="1"/>
  <c r="F21" i="13"/>
  <c r="E21" i="13"/>
  <c r="D21" i="13"/>
  <c r="C21" i="13"/>
  <c r="B21" i="13"/>
  <c r="G20" i="13"/>
  <c r="F20" i="13"/>
  <c r="E20" i="13"/>
  <c r="D20" i="13"/>
  <c r="C20" i="13"/>
  <c r="H20" i="13" s="1"/>
  <c r="J20" i="13" s="1"/>
  <c r="B20" i="13"/>
  <c r="G19" i="13"/>
  <c r="F19" i="13"/>
  <c r="E19" i="13"/>
  <c r="D19" i="13"/>
  <c r="C19" i="13"/>
  <c r="B19" i="13"/>
  <c r="H19" i="13" s="1"/>
  <c r="J19" i="13" s="1"/>
  <c r="G18" i="13"/>
  <c r="H18" i="13" s="1"/>
  <c r="J18" i="13" s="1"/>
  <c r="F18" i="13"/>
  <c r="E18" i="13"/>
  <c r="D18" i="13"/>
  <c r="C18" i="13"/>
  <c r="B18" i="13"/>
  <c r="G17" i="13"/>
  <c r="F17" i="13"/>
  <c r="E17" i="13"/>
  <c r="D17" i="13"/>
  <c r="C17" i="13"/>
  <c r="H17" i="13" s="1"/>
  <c r="J17" i="13" s="1"/>
  <c r="B17" i="13"/>
  <c r="G15" i="13"/>
  <c r="F15" i="13"/>
  <c r="E15" i="13"/>
  <c r="D15" i="13"/>
  <c r="C15" i="13"/>
  <c r="B15" i="13"/>
  <c r="H15" i="13" s="1"/>
  <c r="J15" i="13" s="1"/>
  <c r="G14" i="13"/>
  <c r="H14" i="13" s="1"/>
  <c r="J14" i="13" s="1"/>
  <c r="F14" i="13"/>
  <c r="E14" i="13"/>
  <c r="D14" i="13"/>
  <c r="C14" i="13"/>
  <c r="B14" i="13"/>
  <c r="G13" i="13"/>
  <c r="F13" i="13"/>
  <c r="E13" i="13"/>
  <c r="D13" i="13"/>
  <c r="C13" i="13"/>
  <c r="H13" i="13" s="1"/>
  <c r="J13" i="13" s="1"/>
  <c r="B13" i="13"/>
  <c r="G12" i="13"/>
  <c r="F12" i="13"/>
  <c r="E12" i="13"/>
  <c r="D12" i="13"/>
  <c r="C12" i="13"/>
  <c r="B12" i="13"/>
  <c r="H12" i="13" s="1"/>
  <c r="J12" i="13" s="1"/>
  <c r="G11" i="13"/>
  <c r="H11" i="13" s="1"/>
  <c r="J11" i="13" s="1"/>
  <c r="F11" i="13"/>
  <c r="E11" i="13"/>
  <c r="D11" i="13"/>
  <c r="C11" i="13"/>
  <c r="B11" i="13"/>
  <c r="G10" i="13"/>
  <c r="F10" i="13"/>
  <c r="E10" i="13"/>
  <c r="D10" i="13"/>
  <c r="C10" i="13"/>
  <c r="H10" i="13" s="1"/>
  <c r="J10" i="13" s="1"/>
  <c r="B10" i="13"/>
  <c r="G9" i="13"/>
  <c r="F9" i="13"/>
  <c r="E9" i="13"/>
  <c r="D9" i="13"/>
  <c r="C9" i="13"/>
  <c r="B9" i="13"/>
  <c r="H9" i="13" s="1"/>
  <c r="J9" i="13" s="1"/>
  <c r="H8" i="13"/>
  <c r="J8" i="13" s="1"/>
  <c r="G8" i="13"/>
  <c r="F8" i="13"/>
  <c r="E8" i="13"/>
  <c r="D8" i="13"/>
  <c r="C8" i="13"/>
  <c r="B8" i="13"/>
  <c r="G7" i="13"/>
  <c r="F7" i="13"/>
  <c r="E7" i="13"/>
  <c r="D7" i="13"/>
  <c r="C7" i="13"/>
  <c r="H7" i="13" s="1"/>
  <c r="J7" i="13" s="1"/>
  <c r="B7" i="13"/>
  <c r="G6" i="13"/>
  <c r="F6" i="13"/>
  <c r="E6" i="13"/>
  <c r="D6" i="13"/>
  <c r="C6" i="13"/>
  <c r="B6" i="13"/>
  <c r="H6" i="13" s="1"/>
  <c r="J6" i="13" s="1"/>
  <c r="H5" i="13"/>
  <c r="J5" i="13" s="1"/>
  <c r="G5" i="13"/>
  <c r="F5" i="13"/>
  <c r="E5" i="13"/>
  <c r="D5" i="13"/>
  <c r="C5" i="13"/>
  <c r="B5" i="13"/>
  <c r="G4" i="13"/>
  <c r="F4" i="13"/>
  <c r="E4" i="13"/>
  <c r="D4" i="13"/>
  <c r="C4" i="13"/>
  <c r="H4" i="13" s="1"/>
  <c r="J4" i="13" s="1"/>
  <c r="B4" i="13"/>
  <c r="G3" i="13"/>
  <c r="F3" i="13"/>
  <c r="E3" i="13"/>
  <c r="D3" i="13"/>
  <c r="C3" i="13"/>
  <c r="B3" i="13"/>
  <c r="H3" i="13" s="1"/>
  <c r="J3" i="13" s="1"/>
  <c r="G2" i="13"/>
  <c r="H2" i="13" s="1"/>
  <c r="J2" i="13" s="1"/>
  <c r="F2" i="13"/>
  <c r="E2" i="13"/>
  <c r="D2" i="13"/>
  <c r="C2" i="13"/>
  <c r="B2" i="13"/>
</calcChain>
</file>

<file path=xl/sharedStrings.xml><?xml version="1.0" encoding="utf-8"?>
<sst xmlns="http://schemas.openxmlformats.org/spreadsheetml/2006/main" count="37" uniqueCount="37">
  <si>
    <t>類型</t>
    <phoneticPr fontId="3" type="noConversion"/>
  </si>
  <si>
    <t>攻擊</t>
    <phoneticPr fontId="3" type="noConversion"/>
  </si>
  <si>
    <t>防禦</t>
    <phoneticPr fontId="3" type="noConversion"/>
  </si>
  <si>
    <t>重量</t>
    <phoneticPr fontId="3" type="noConversion"/>
  </si>
  <si>
    <t>爆擊</t>
    <phoneticPr fontId="3" type="noConversion"/>
  </si>
  <si>
    <t>迴避</t>
    <phoneticPr fontId="3" type="noConversion"/>
  </si>
  <si>
    <t>幸運</t>
    <phoneticPr fontId="3" type="noConversion"/>
  </si>
  <si>
    <t>價格</t>
    <phoneticPr fontId="3" type="noConversion"/>
  </si>
  <si>
    <t>素材數</t>
    <phoneticPr fontId="3" type="noConversion"/>
  </si>
  <si>
    <t>CP</t>
    <phoneticPr fontId="3" type="noConversion"/>
  </si>
  <si>
    <t>短刀</t>
  </si>
  <si>
    <t>小圓盾</t>
  </si>
  <si>
    <t>短杖</t>
  </si>
  <si>
    <t>單手棍</t>
  </si>
  <si>
    <t>指虎</t>
  </si>
  <si>
    <t>長劍</t>
  </si>
  <si>
    <t>單手斧</t>
  </si>
  <si>
    <t>刺劍</t>
    <phoneticPr fontId="3" type="noConversion"/>
  </si>
  <si>
    <t>弓箭</t>
  </si>
  <si>
    <t>大盾</t>
  </si>
  <si>
    <t>長杖</t>
  </si>
  <si>
    <t>大劍</t>
  </si>
  <si>
    <t>長槍</t>
  </si>
  <si>
    <t>雙手斧</t>
  </si>
  <si>
    <t>布甲</t>
  </si>
  <si>
    <t>護腿</t>
  </si>
  <si>
    <t>盔甲</t>
  </si>
  <si>
    <t>靴</t>
  </si>
  <si>
    <t>頭盔</t>
  </si>
  <si>
    <t>手甲</t>
  </si>
  <si>
    <t>手套</t>
  </si>
  <si>
    <t>項鍊</t>
  </si>
  <si>
    <t>戒指</t>
  </si>
  <si>
    <t>面具</t>
  </si>
  <si>
    <t>護目</t>
  </si>
  <si>
    <t>披風</t>
  </si>
  <si>
    <t>腰帶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</si>
</sst>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charset val="16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2">
    <xf numFmtId="0" fontId="0" fillId="0" borderId="0" xfId="0"/>
    <xf numFmtId="0" fontId="1" fillId="0" borderId="0" xfId="1">
      <alignment vertical="center"/>
    </xf>
  </cellXfs>
  <cellStyles count="2">
    <cellStyle name="一般" xfId="0" builtinId="0"/>
    <cellStyle name="一般 2" xfId="1" xr:uid="{C40EE02F-F612-4A8F-9726-1CCB76AD6DA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CEA6A-F51A-4CAD-80DB-721DEDD9A7B6}">
  <dimension ref="A1:J30"/>
  <sheetViews>
    <sheetView topLeftCell="A10" workbookViewId="0">
      <selection activeCell="H2" sqref="H2"/>
    </sheetView>
  </sheetViews>
  <sheetFormatPr defaultRowHeight="16.5" x14ac:dyDescent="0.25"/>
  <cols>
    <col min="1" max="16384" width="9.140625" style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25">
      <c r="A2" s="1" t="s">
        <v>10</v>
      </c>
      <c r="B2" s="1">
        <f>$I2/2</f>
        <v>2</v>
      </c>
      <c r="C2" s="1">
        <f>$I2/2</f>
        <v>2</v>
      </c>
      <c r="D2" s="1">
        <f>$I2/2</f>
        <v>2</v>
      </c>
      <c r="E2" s="1">
        <f>$I2*0.75</f>
        <v>3</v>
      </c>
      <c r="F2" s="1">
        <f>$I2*0.75</f>
        <v>3</v>
      </c>
      <c r="G2" s="1">
        <f>$I2*2</f>
        <v>8</v>
      </c>
      <c r="H2" s="1">
        <f>(B2+C2-D2+E2+F2+G2)*2.5</f>
        <v>40</v>
      </c>
      <c r="I2" s="1">
        <v>4</v>
      </c>
      <c r="J2" s="1">
        <f t="shared" ref="J2:J15" si="0">H2/I2</f>
        <v>10</v>
      </c>
    </row>
    <row r="3" spans="1:10" x14ac:dyDescent="0.25">
      <c r="A3" s="1" t="s">
        <v>11</v>
      </c>
      <c r="B3" s="1">
        <f>$I3*0</f>
        <v>0</v>
      </c>
      <c r="C3" s="1">
        <f>$I3*3.5</f>
        <v>14</v>
      </c>
      <c r="D3" s="1">
        <f>$I3*0.75</f>
        <v>3</v>
      </c>
      <c r="E3" s="1">
        <f t="shared" ref="E3:F15" si="1">$I3*0</f>
        <v>0</v>
      </c>
      <c r="F3" s="1">
        <f>$I3*0.25</f>
        <v>1</v>
      </c>
      <c r="G3" s="1">
        <f>$I3</f>
        <v>4</v>
      </c>
      <c r="H3" s="1">
        <f t="shared" ref="H3:H30" si="2">(B3+C3-D3+E3+F3+G3)*2.5</f>
        <v>40</v>
      </c>
      <c r="I3" s="1">
        <v>4</v>
      </c>
      <c r="J3" s="1">
        <f t="shared" si="0"/>
        <v>10</v>
      </c>
    </row>
    <row r="4" spans="1:10" x14ac:dyDescent="0.25">
      <c r="A4" s="1" t="s">
        <v>12</v>
      </c>
      <c r="B4" s="1">
        <f>$I4</f>
        <v>4</v>
      </c>
      <c r="C4" s="1">
        <f>$I4/2</f>
        <v>2</v>
      </c>
      <c r="D4" s="1">
        <f>$I4*0.5</f>
        <v>2</v>
      </c>
      <c r="E4" s="1">
        <f>$I4*1</f>
        <v>4</v>
      </c>
      <c r="F4" s="1">
        <f>$I4*0.5</f>
        <v>2</v>
      </c>
      <c r="G4" s="1">
        <f>$I4*1.5</f>
        <v>6</v>
      </c>
      <c r="H4" s="1">
        <f t="shared" si="2"/>
        <v>40</v>
      </c>
      <c r="I4" s="1">
        <v>4</v>
      </c>
      <c r="J4" s="1">
        <f t="shared" si="0"/>
        <v>10</v>
      </c>
    </row>
    <row r="5" spans="1:10" x14ac:dyDescent="0.25">
      <c r="A5" s="1" t="s">
        <v>13</v>
      </c>
      <c r="B5" s="1">
        <f>$I5*1.5</f>
        <v>6</v>
      </c>
      <c r="C5" s="1">
        <f>$I5*1.5</f>
        <v>6</v>
      </c>
      <c r="D5" s="1">
        <f>$I5/2</f>
        <v>2</v>
      </c>
      <c r="E5" s="1">
        <f t="shared" si="1"/>
        <v>0</v>
      </c>
      <c r="F5" s="1">
        <f t="shared" si="1"/>
        <v>0</v>
      </c>
      <c r="G5" s="1">
        <f>$I5*1.5</f>
        <v>6</v>
      </c>
      <c r="H5" s="1">
        <f t="shared" si="2"/>
        <v>40</v>
      </c>
      <c r="I5" s="1">
        <v>4</v>
      </c>
      <c r="J5" s="1">
        <f t="shared" si="0"/>
        <v>10</v>
      </c>
    </row>
    <row r="6" spans="1:10" x14ac:dyDescent="0.25">
      <c r="A6" s="1" t="s">
        <v>14</v>
      </c>
      <c r="B6" s="1">
        <f>$I6/4</f>
        <v>1</v>
      </c>
      <c r="C6" s="1">
        <f>$I6/4</f>
        <v>1</v>
      </c>
      <c r="D6" s="1">
        <f>$I6/4</f>
        <v>1</v>
      </c>
      <c r="E6" s="1">
        <f>$I6*1.5</f>
        <v>6</v>
      </c>
      <c r="F6" s="1">
        <f>$I6*1.5</f>
        <v>6</v>
      </c>
      <c r="G6" s="1">
        <f>$I6*0.75</f>
        <v>3</v>
      </c>
      <c r="H6" s="1">
        <f t="shared" si="2"/>
        <v>40</v>
      </c>
      <c r="I6" s="1">
        <v>4</v>
      </c>
      <c r="J6" s="1">
        <f t="shared" si="0"/>
        <v>10</v>
      </c>
    </row>
    <row r="7" spans="1:10" x14ac:dyDescent="0.25">
      <c r="A7" s="1" t="s">
        <v>15</v>
      </c>
      <c r="B7" s="1">
        <f>$I7*1.5</f>
        <v>9</v>
      </c>
      <c r="C7" s="1">
        <f>$I7*1.5</f>
        <v>9</v>
      </c>
      <c r="D7" s="1">
        <f>$I7/1.6</f>
        <v>3.75</v>
      </c>
      <c r="E7" s="1">
        <f>$I7*0.3125</f>
        <v>1.875</v>
      </c>
      <c r="F7" s="1">
        <f>$I7*0.3125</f>
        <v>1.875</v>
      </c>
      <c r="G7" s="1">
        <f>$I7</f>
        <v>6</v>
      </c>
      <c r="H7" s="1">
        <f t="shared" si="2"/>
        <v>60</v>
      </c>
      <c r="I7" s="1">
        <v>6</v>
      </c>
      <c r="J7" s="1">
        <f t="shared" si="0"/>
        <v>10</v>
      </c>
    </row>
    <row r="8" spans="1:10" x14ac:dyDescent="0.25">
      <c r="A8" s="1" t="s">
        <v>16</v>
      </c>
      <c r="B8" s="1">
        <f>$I8*1.5</f>
        <v>9</v>
      </c>
      <c r="C8" s="1">
        <f>$I8*0</f>
        <v>0</v>
      </c>
      <c r="D8" s="1">
        <f>$I8*0.8</f>
        <v>4.8000000000000007</v>
      </c>
      <c r="E8" s="1">
        <f>$I8*1.2</f>
        <v>7.1999999999999993</v>
      </c>
      <c r="F8" s="1">
        <f>$I8*1.1</f>
        <v>6.6000000000000005</v>
      </c>
      <c r="G8" s="1">
        <f>$I8</f>
        <v>6</v>
      </c>
      <c r="H8" s="1">
        <f t="shared" si="2"/>
        <v>60</v>
      </c>
      <c r="I8" s="1">
        <v>6</v>
      </c>
      <c r="J8" s="1">
        <f t="shared" si="0"/>
        <v>10</v>
      </c>
    </row>
    <row r="9" spans="1:10" x14ac:dyDescent="0.25">
      <c r="A9" s="1" t="s">
        <v>17</v>
      </c>
      <c r="B9" s="1">
        <f>$I9</f>
        <v>6</v>
      </c>
      <c r="C9" s="1">
        <f>$I9/2</f>
        <v>3</v>
      </c>
      <c r="D9" s="1">
        <f>$I9</f>
        <v>6</v>
      </c>
      <c r="E9" s="1">
        <f>$I9*1.5</f>
        <v>9</v>
      </c>
      <c r="F9" s="1">
        <f>$I9</f>
        <v>6</v>
      </c>
      <c r="G9" s="1">
        <f>$I9</f>
        <v>6</v>
      </c>
      <c r="H9" s="1">
        <f t="shared" si="2"/>
        <v>60</v>
      </c>
      <c r="I9" s="1">
        <v>6</v>
      </c>
      <c r="J9" s="1">
        <f t="shared" si="0"/>
        <v>10</v>
      </c>
    </row>
    <row r="10" spans="1:10" x14ac:dyDescent="0.25">
      <c r="A10" s="1" t="s">
        <v>18</v>
      </c>
      <c r="B10" s="1">
        <f>$I10*0.8</f>
        <v>4.8000000000000007</v>
      </c>
      <c r="C10" s="1">
        <f>$I10*0.2</f>
        <v>1.2000000000000002</v>
      </c>
      <c r="D10" s="1">
        <f>$I10/10</f>
        <v>0.6</v>
      </c>
      <c r="E10" s="1">
        <f>$I10*0.5</f>
        <v>3</v>
      </c>
      <c r="F10" s="1">
        <f>$I10*1.5</f>
        <v>9</v>
      </c>
      <c r="G10" s="1">
        <f>$I10*1.1</f>
        <v>6.6000000000000005</v>
      </c>
      <c r="H10" s="1">
        <f t="shared" si="2"/>
        <v>60.000000000000007</v>
      </c>
      <c r="I10" s="1">
        <v>6</v>
      </c>
      <c r="J10" s="1">
        <f t="shared" si="0"/>
        <v>10.000000000000002</v>
      </c>
    </row>
    <row r="11" spans="1:10" x14ac:dyDescent="0.25">
      <c r="A11" s="1" t="s">
        <v>19</v>
      </c>
      <c r="B11" s="1">
        <f>$I11*0</f>
        <v>0</v>
      </c>
      <c r="C11" s="1">
        <f>$I11*9</f>
        <v>90</v>
      </c>
      <c r="D11" s="1">
        <f>$I11*5</f>
        <v>50</v>
      </c>
      <c r="E11" s="1">
        <f t="shared" si="1"/>
        <v>0</v>
      </c>
      <c r="F11" s="1">
        <f>$I11*-1</f>
        <v>-10</v>
      </c>
      <c r="G11" s="1">
        <f>$I11</f>
        <v>10</v>
      </c>
      <c r="H11" s="1">
        <f t="shared" si="2"/>
        <v>100</v>
      </c>
      <c r="I11" s="1">
        <v>10</v>
      </c>
      <c r="J11" s="1">
        <f t="shared" si="0"/>
        <v>10</v>
      </c>
    </row>
    <row r="12" spans="1:10" x14ac:dyDescent="0.25">
      <c r="A12" s="1" t="s">
        <v>20</v>
      </c>
      <c r="B12" s="1">
        <f>$I12*2</f>
        <v>20</v>
      </c>
      <c r="C12" s="1">
        <f>$I12</f>
        <v>10</v>
      </c>
      <c r="D12" s="1">
        <f>$I12*0.8</f>
        <v>8</v>
      </c>
      <c r="E12" s="1">
        <f>$I12*0.3</f>
        <v>3</v>
      </c>
      <c r="F12" s="1">
        <f t="shared" si="1"/>
        <v>0</v>
      </c>
      <c r="G12" s="1">
        <f>$I12*1.5</f>
        <v>15</v>
      </c>
      <c r="H12" s="1">
        <f t="shared" si="2"/>
        <v>100</v>
      </c>
      <c r="I12" s="1">
        <v>10</v>
      </c>
      <c r="J12" s="1">
        <f t="shared" si="0"/>
        <v>10</v>
      </c>
    </row>
    <row r="13" spans="1:10" x14ac:dyDescent="0.25">
      <c r="A13" s="1" t="s">
        <v>21</v>
      </c>
      <c r="B13" s="1">
        <f>$I13*1.5</f>
        <v>15</v>
      </c>
      <c r="C13" s="1">
        <f>$I13*2.5</f>
        <v>25</v>
      </c>
      <c r="D13" s="1">
        <f>$I13*1.5</f>
        <v>15</v>
      </c>
      <c r="E13" s="1">
        <f>$I13*0.5</f>
        <v>5</v>
      </c>
      <c r="F13" s="1">
        <f>$I13*0</f>
        <v>0</v>
      </c>
      <c r="G13" s="1">
        <f>$I13</f>
        <v>10</v>
      </c>
      <c r="H13" s="1">
        <f t="shared" si="2"/>
        <v>100</v>
      </c>
      <c r="I13" s="1">
        <v>10</v>
      </c>
      <c r="J13" s="1">
        <f t="shared" si="0"/>
        <v>10</v>
      </c>
    </row>
    <row r="14" spans="1:10" x14ac:dyDescent="0.25">
      <c r="A14" s="1" t="s">
        <v>22</v>
      </c>
      <c r="B14" s="1">
        <f>$I14*2</f>
        <v>20</v>
      </c>
      <c r="C14" s="1">
        <f>$I14*1.2</f>
        <v>12</v>
      </c>
      <c r="D14" s="1">
        <f>$I14*0.8</f>
        <v>8</v>
      </c>
      <c r="E14" s="1">
        <f>$I14*0.6</f>
        <v>6</v>
      </c>
      <c r="F14" s="1">
        <f>$I14*1</f>
        <v>10</v>
      </c>
      <c r="G14" s="1">
        <f>$I14*0</f>
        <v>0</v>
      </c>
      <c r="H14" s="1">
        <f t="shared" si="2"/>
        <v>100</v>
      </c>
      <c r="I14" s="1">
        <v>10</v>
      </c>
      <c r="J14" s="1">
        <f t="shared" si="0"/>
        <v>10</v>
      </c>
    </row>
    <row r="15" spans="1:10" x14ac:dyDescent="0.25">
      <c r="A15" s="1" t="s">
        <v>23</v>
      </c>
      <c r="B15" s="1">
        <f>$I15*3</f>
        <v>45</v>
      </c>
      <c r="C15" s="1">
        <f>$I15*0</f>
        <v>0</v>
      </c>
      <c r="D15" s="1">
        <f>$I15*1.5</f>
        <v>22.5</v>
      </c>
      <c r="E15" s="1">
        <f>$I15*1.5</f>
        <v>22.5</v>
      </c>
      <c r="F15" s="1">
        <f t="shared" si="1"/>
        <v>0</v>
      </c>
      <c r="G15" s="1">
        <f>$I15</f>
        <v>15</v>
      </c>
      <c r="H15" s="1">
        <f t="shared" si="2"/>
        <v>150</v>
      </c>
      <c r="I15" s="1">
        <v>15</v>
      </c>
      <c r="J15" s="1">
        <f t="shared" si="0"/>
        <v>10</v>
      </c>
    </row>
    <row r="17" spans="1:10" x14ac:dyDescent="0.25">
      <c r="A17" s="1" t="s">
        <v>24</v>
      </c>
      <c r="B17" s="1">
        <f>$I17*0.2</f>
        <v>1.2000000000000002</v>
      </c>
      <c r="C17" s="1">
        <f>$I17*3</f>
        <v>18</v>
      </c>
      <c r="D17" s="1">
        <f>$I17*0.7</f>
        <v>4.1999999999999993</v>
      </c>
      <c r="E17" s="1">
        <f t="shared" ref="E17:F22" si="3">$I17*0</f>
        <v>0</v>
      </c>
      <c r="F17" s="1">
        <f>$I17*0.5</f>
        <v>3</v>
      </c>
      <c r="G17" s="1">
        <f t="shared" ref="C17:K24" si="4">$I17</f>
        <v>6</v>
      </c>
      <c r="H17" s="1">
        <f t="shared" si="2"/>
        <v>60</v>
      </c>
      <c r="I17" s="1">
        <v>6</v>
      </c>
      <c r="J17" s="1">
        <f t="shared" ref="J17:J22" si="5">H17/I17</f>
        <v>10</v>
      </c>
    </row>
    <row r="18" spans="1:10" x14ac:dyDescent="0.25">
      <c r="A18" s="1" t="s">
        <v>25</v>
      </c>
      <c r="B18" s="1">
        <f>$I18*0.4</f>
        <v>1.6</v>
      </c>
      <c r="C18" s="1">
        <f>$I18*2.5</f>
        <v>10</v>
      </c>
      <c r="D18" s="1">
        <f>$I18*0.8</f>
        <v>3.2</v>
      </c>
      <c r="E18" s="1">
        <f>$I18*0.1</f>
        <v>0.4</v>
      </c>
      <c r="F18" s="1">
        <f>$I18*0.8</f>
        <v>3.2</v>
      </c>
      <c r="G18" s="1">
        <f t="shared" si="4"/>
        <v>4</v>
      </c>
      <c r="H18" s="1">
        <f t="shared" si="2"/>
        <v>40</v>
      </c>
      <c r="I18" s="1">
        <v>4</v>
      </c>
      <c r="J18" s="1">
        <f t="shared" si="5"/>
        <v>10</v>
      </c>
    </row>
    <row r="19" spans="1:10" x14ac:dyDescent="0.25">
      <c r="A19" s="1" t="s">
        <v>26</v>
      </c>
      <c r="B19" s="1">
        <f>$I19*0.5</f>
        <v>7.5</v>
      </c>
      <c r="C19" s="1">
        <f>$I19*8</f>
        <v>120</v>
      </c>
      <c r="D19" s="1">
        <f>$I19*4.5</f>
        <v>67.5</v>
      </c>
      <c r="E19" s="1">
        <f t="shared" si="3"/>
        <v>0</v>
      </c>
      <c r="F19" s="1">
        <f>$I19*-1</f>
        <v>-15</v>
      </c>
      <c r="G19" s="1">
        <f t="shared" si="4"/>
        <v>15</v>
      </c>
      <c r="H19" s="1">
        <f t="shared" si="2"/>
        <v>150</v>
      </c>
      <c r="I19" s="1">
        <v>15</v>
      </c>
      <c r="J19" s="1">
        <f t="shared" si="5"/>
        <v>10</v>
      </c>
    </row>
    <row r="20" spans="1:10" x14ac:dyDescent="0.25">
      <c r="A20" s="1" t="s">
        <v>27</v>
      </c>
      <c r="B20" s="1">
        <f>$I20*0.1</f>
        <v>0.4</v>
      </c>
      <c r="C20" s="1">
        <f>$I20*2</f>
        <v>8</v>
      </c>
      <c r="D20" s="1">
        <f>$I20*0.3</f>
        <v>1.2</v>
      </c>
      <c r="E20" s="1">
        <f t="shared" si="3"/>
        <v>0</v>
      </c>
      <c r="F20" s="1">
        <f>$I20*1.2</f>
        <v>4.8</v>
      </c>
      <c r="G20" s="1">
        <f t="shared" si="4"/>
        <v>4</v>
      </c>
      <c r="H20" s="1">
        <f t="shared" si="2"/>
        <v>40</v>
      </c>
      <c r="I20" s="1">
        <v>4</v>
      </c>
      <c r="J20" s="1">
        <f t="shared" si="5"/>
        <v>10</v>
      </c>
    </row>
    <row r="21" spans="1:10" x14ac:dyDescent="0.25">
      <c r="A21" s="1" t="s">
        <v>28</v>
      </c>
      <c r="B21" s="1">
        <f>$I21*0.4</f>
        <v>1.6</v>
      </c>
      <c r="C21" s="1">
        <f>$I21*3.5</f>
        <v>14</v>
      </c>
      <c r="D21" s="1">
        <f>$I21</f>
        <v>4</v>
      </c>
      <c r="E21" s="1">
        <f>$I21*0.1</f>
        <v>0.4</v>
      </c>
      <c r="F21" s="1">
        <f t="shared" si="3"/>
        <v>0</v>
      </c>
      <c r="G21" s="1">
        <f t="shared" si="4"/>
        <v>4</v>
      </c>
      <c r="H21" s="1">
        <f t="shared" si="2"/>
        <v>40</v>
      </c>
      <c r="I21" s="1">
        <v>4</v>
      </c>
      <c r="J21" s="1">
        <f t="shared" si="5"/>
        <v>10</v>
      </c>
    </row>
    <row r="22" spans="1:10" x14ac:dyDescent="0.25">
      <c r="A22" s="1" t="s">
        <v>29</v>
      </c>
      <c r="B22" s="1">
        <f>$I22*0.5</f>
        <v>2</v>
      </c>
      <c r="C22" s="1">
        <f>$I22*2</f>
        <v>8</v>
      </c>
      <c r="D22" s="1">
        <f>$I22*0.8</f>
        <v>3.2</v>
      </c>
      <c r="E22" s="1">
        <f>$I22*1.3</f>
        <v>5.2</v>
      </c>
      <c r="F22" s="1">
        <f t="shared" si="3"/>
        <v>0</v>
      </c>
      <c r="G22" s="1">
        <f t="shared" si="4"/>
        <v>4</v>
      </c>
      <c r="H22" s="1">
        <f t="shared" si="2"/>
        <v>40</v>
      </c>
      <c r="I22" s="1">
        <v>4</v>
      </c>
      <c r="J22" s="1">
        <f t="shared" si="5"/>
        <v>10</v>
      </c>
    </row>
    <row r="24" spans="1:10" x14ac:dyDescent="0.25">
      <c r="A24" s="1" t="s">
        <v>30</v>
      </c>
      <c r="B24" s="1">
        <f>$I24</f>
        <v>2</v>
      </c>
      <c r="C24" s="1">
        <f t="shared" si="4"/>
        <v>2</v>
      </c>
      <c r="D24" s="1">
        <f>$I24/2</f>
        <v>1</v>
      </c>
      <c r="E24" s="1">
        <f>$I24*1</f>
        <v>2</v>
      </c>
      <c r="F24" s="1">
        <f>$I24*0.5</f>
        <v>1</v>
      </c>
      <c r="G24" s="1">
        <f t="shared" si="4"/>
        <v>2</v>
      </c>
      <c r="H24" s="1">
        <f t="shared" si="2"/>
        <v>20</v>
      </c>
      <c r="I24" s="1">
        <v>2</v>
      </c>
      <c r="J24" s="1">
        <f t="shared" ref="J24:J30" si="6">H24/I24</f>
        <v>10</v>
      </c>
    </row>
    <row r="25" spans="1:10" x14ac:dyDescent="0.25">
      <c r="A25" s="1" t="s">
        <v>31</v>
      </c>
      <c r="B25" s="1">
        <f>$I25/2</f>
        <v>1</v>
      </c>
      <c r="C25" s="1">
        <f>$I25/2</f>
        <v>1</v>
      </c>
      <c r="D25" s="1">
        <f>$I25/2</f>
        <v>1</v>
      </c>
      <c r="E25" s="1">
        <f>$I25*0.8</f>
        <v>1.6</v>
      </c>
      <c r="F25" s="1">
        <f>$I25*0.7</f>
        <v>1.4</v>
      </c>
      <c r="G25" s="1">
        <f>$I25*2</f>
        <v>4</v>
      </c>
      <c r="H25" s="1">
        <f t="shared" si="2"/>
        <v>20</v>
      </c>
      <c r="I25" s="1">
        <v>2</v>
      </c>
      <c r="J25" s="1">
        <f t="shared" si="6"/>
        <v>10</v>
      </c>
    </row>
    <row r="26" spans="1:10" x14ac:dyDescent="0.25">
      <c r="A26" s="1" t="s">
        <v>32</v>
      </c>
      <c r="B26" s="1">
        <f>$I26/4</f>
        <v>0.25</v>
      </c>
      <c r="C26" s="1">
        <f>$I26/4</f>
        <v>0.25</v>
      </c>
      <c r="D26" s="1">
        <f>$I26/10</f>
        <v>0.1</v>
      </c>
      <c r="E26" s="1">
        <f>$I26*1</f>
        <v>1</v>
      </c>
      <c r="F26" s="1">
        <f>$I26*1</f>
        <v>1</v>
      </c>
      <c r="G26" s="1">
        <f>$I26*1.6</f>
        <v>1.6</v>
      </c>
      <c r="H26" s="1">
        <f t="shared" si="2"/>
        <v>10</v>
      </c>
      <c r="I26" s="1">
        <v>1</v>
      </c>
      <c r="J26" s="1">
        <f t="shared" si="6"/>
        <v>10</v>
      </c>
    </row>
    <row r="27" spans="1:10" x14ac:dyDescent="0.25">
      <c r="A27" s="1" t="s">
        <v>33</v>
      </c>
      <c r="B27" s="1">
        <f>$I27*0.1</f>
        <v>0.2</v>
      </c>
      <c r="C27" s="1">
        <f>$I27</f>
        <v>2</v>
      </c>
      <c r="D27" s="1">
        <f>$I27/2</f>
        <v>1</v>
      </c>
      <c r="E27" s="1">
        <f>$I27*0</f>
        <v>0</v>
      </c>
      <c r="F27" s="1">
        <f>$I27*0.5</f>
        <v>1</v>
      </c>
      <c r="G27" s="1">
        <f>$I27*2.9</f>
        <v>5.8</v>
      </c>
      <c r="H27" s="1">
        <f t="shared" si="2"/>
        <v>20</v>
      </c>
      <c r="I27" s="1">
        <v>2</v>
      </c>
      <c r="J27" s="1">
        <f t="shared" si="6"/>
        <v>10</v>
      </c>
    </row>
    <row r="28" spans="1:10" x14ac:dyDescent="0.25">
      <c r="A28" s="1" t="s">
        <v>34</v>
      </c>
      <c r="B28" s="1">
        <f>$I28*0.1</f>
        <v>0.1</v>
      </c>
      <c r="C28" s="1">
        <f>$I28*0.8</f>
        <v>0.8</v>
      </c>
      <c r="D28" s="1">
        <f>$I28*0.8</f>
        <v>0.8</v>
      </c>
      <c r="E28" s="1">
        <f>$I28*1</f>
        <v>1</v>
      </c>
      <c r="F28" s="1">
        <f>$I28*1</f>
        <v>1</v>
      </c>
      <c r="G28" s="1">
        <f>$I28*1.9</f>
        <v>1.9</v>
      </c>
      <c r="H28" s="1">
        <f t="shared" si="2"/>
        <v>10</v>
      </c>
      <c r="I28" s="1">
        <v>1</v>
      </c>
      <c r="J28" s="1">
        <f t="shared" si="6"/>
        <v>10</v>
      </c>
    </row>
    <row r="29" spans="1:10" x14ac:dyDescent="0.25">
      <c r="A29" s="1" t="s">
        <v>35</v>
      </c>
      <c r="B29" s="1">
        <f>$I29*0.3</f>
        <v>0.6</v>
      </c>
      <c r="C29" s="1">
        <f>$I29*1.6</f>
        <v>3.2</v>
      </c>
      <c r="D29" s="1">
        <f>$I29*0.6</f>
        <v>1.2</v>
      </c>
      <c r="E29" s="1">
        <f t="shared" ref="E29" si="7">$I29*0</f>
        <v>0</v>
      </c>
      <c r="F29" s="1">
        <f>$I29*1.2</f>
        <v>2.4</v>
      </c>
      <c r="G29" s="1">
        <f>$I29*1.5</f>
        <v>3</v>
      </c>
      <c r="H29" s="1">
        <f t="shared" si="2"/>
        <v>20</v>
      </c>
      <c r="I29" s="1">
        <v>2</v>
      </c>
      <c r="J29" s="1">
        <f t="shared" si="6"/>
        <v>10</v>
      </c>
    </row>
    <row r="30" spans="1:10" x14ac:dyDescent="0.25">
      <c r="A30" s="1" t="s">
        <v>36</v>
      </c>
      <c r="B30" s="1">
        <f>$I30*0.5</f>
        <v>1</v>
      </c>
      <c r="C30" s="1">
        <f>$I30*1.8</f>
        <v>3.6</v>
      </c>
      <c r="D30" s="1">
        <f>$I30*0.5</f>
        <v>1</v>
      </c>
      <c r="E30" s="1">
        <f>$I30*0.2</f>
        <v>0.4</v>
      </c>
      <c r="F30" s="1">
        <f>$I30*0.5</f>
        <v>1</v>
      </c>
      <c r="G30" s="1">
        <f>$I30*1.5</f>
        <v>3</v>
      </c>
      <c r="H30" s="1">
        <f t="shared" si="2"/>
        <v>20</v>
      </c>
      <c r="I30" s="1">
        <v>2</v>
      </c>
      <c r="J30" s="1">
        <f t="shared" si="6"/>
        <v>10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A3305-3036-42C2-B0A0-61C45008A767}">
  <dimension ref="A1:B50"/>
  <sheetViews>
    <sheetView tabSelected="1" workbookViewId="0">
      <selection activeCell="B2" sqref="B2:B50"/>
    </sheetView>
  </sheetViews>
  <sheetFormatPr defaultRowHeight="16.5" x14ac:dyDescent="0.25"/>
  <cols>
    <col min="1" max="16384" width="9.140625" style="1"/>
  </cols>
  <sheetData>
    <row r="1" spans="1:2" x14ac:dyDescent="0.25">
      <c r="A1" s="1">
        <v>1</v>
      </c>
      <c r="B1" s="1">
        <v>100</v>
      </c>
    </row>
    <row r="2" spans="1:2" x14ac:dyDescent="0.25">
      <c r="A2" s="1">
        <v>2</v>
      </c>
      <c r="B2" s="1">
        <f>B1+A2*11+A1*6</f>
        <v>128</v>
      </c>
    </row>
    <row r="3" spans="1:2" x14ac:dyDescent="0.25">
      <c r="A3" s="1">
        <v>3</v>
      </c>
      <c r="B3" s="1">
        <f t="shared" ref="B3:B50" si="0">B2+A3*11+A2*6</f>
        <v>173</v>
      </c>
    </row>
    <row r="4" spans="1:2" x14ac:dyDescent="0.25">
      <c r="A4" s="1">
        <v>4</v>
      </c>
      <c r="B4" s="1">
        <f t="shared" si="0"/>
        <v>235</v>
      </c>
    </row>
    <row r="5" spans="1:2" x14ac:dyDescent="0.25">
      <c r="A5" s="1">
        <v>5</v>
      </c>
      <c r="B5" s="1">
        <f t="shared" si="0"/>
        <v>314</v>
      </c>
    </row>
    <row r="6" spans="1:2" x14ac:dyDescent="0.25">
      <c r="A6" s="1">
        <v>6</v>
      </c>
      <c r="B6" s="1">
        <f t="shared" si="0"/>
        <v>410</v>
      </c>
    </row>
    <row r="7" spans="1:2" x14ac:dyDescent="0.25">
      <c r="A7" s="1">
        <v>7</v>
      </c>
      <c r="B7" s="1">
        <f t="shared" si="0"/>
        <v>523</v>
      </c>
    </row>
    <row r="8" spans="1:2" x14ac:dyDescent="0.25">
      <c r="A8" s="1">
        <v>8</v>
      </c>
      <c r="B8" s="1">
        <f t="shared" si="0"/>
        <v>653</v>
      </c>
    </row>
    <row r="9" spans="1:2" x14ac:dyDescent="0.25">
      <c r="A9" s="1">
        <v>9</v>
      </c>
      <c r="B9" s="1">
        <f t="shared" si="0"/>
        <v>800</v>
      </c>
    </row>
    <row r="10" spans="1:2" x14ac:dyDescent="0.25">
      <c r="A10" s="1">
        <v>10</v>
      </c>
      <c r="B10" s="1">
        <f t="shared" si="0"/>
        <v>964</v>
      </c>
    </row>
    <row r="11" spans="1:2" x14ac:dyDescent="0.25">
      <c r="A11" s="1">
        <v>11</v>
      </c>
      <c r="B11" s="1">
        <f t="shared" si="0"/>
        <v>1145</v>
      </c>
    </row>
    <row r="12" spans="1:2" x14ac:dyDescent="0.25">
      <c r="A12" s="1">
        <v>12</v>
      </c>
      <c r="B12" s="1">
        <f t="shared" si="0"/>
        <v>1343</v>
      </c>
    </row>
    <row r="13" spans="1:2" x14ac:dyDescent="0.25">
      <c r="A13" s="1">
        <v>13</v>
      </c>
      <c r="B13" s="1">
        <f t="shared" si="0"/>
        <v>1558</v>
      </c>
    </row>
    <row r="14" spans="1:2" x14ac:dyDescent="0.25">
      <c r="A14" s="1">
        <v>14</v>
      </c>
      <c r="B14" s="1">
        <f t="shared" si="0"/>
        <v>1790</v>
      </c>
    </row>
    <row r="15" spans="1:2" x14ac:dyDescent="0.25">
      <c r="A15" s="1">
        <v>15</v>
      </c>
      <c r="B15" s="1">
        <f t="shared" si="0"/>
        <v>2039</v>
      </c>
    </row>
    <row r="16" spans="1:2" x14ac:dyDescent="0.25">
      <c r="A16" s="1">
        <v>16</v>
      </c>
      <c r="B16" s="1">
        <f t="shared" si="0"/>
        <v>2305</v>
      </c>
    </row>
    <row r="17" spans="1:2" x14ac:dyDescent="0.25">
      <c r="A17" s="1">
        <v>17</v>
      </c>
      <c r="B17" s="1">
        <f t="shared" si="0"/>
        <v>2588</v>
      </c>
    </row>
    <row r="18" spans="1:2" x14ac:dyDescent="0.25">
      <c r="A18" s="1">
        <v>18</v>
      </c>
      <c r="B18" s="1">
        <f t="shared" si="0"/>
        <v>2888</v>
      </c>
    </row>
    <row r="19" spans="1:2" x14ac:dyDescent="0.25">
      <c r="A19" s="1">
        <v>19</v>
      </c>
      <c r="B19" s="1">
        <f t="shared" si="0"/>
        <v>3205</v>
      </c>
    </row>
    <row r="20" spans="1:2" x14ac:dyDescent="0.25">
      <c r="A20" s="1">
        <v>20</v>
      </c>
      <c r="B20" s="1">
        <f t="shared" si="0"/>
        <v>3539</v>
      </c>
    </row>
    <row r="21" spans="1:2" x14ac:dyDescent="0.25">
      <c r="A21" s="1">
        <v>21</v>
      </c>
      <c r="B21" s="1">
        <f t="shared" si="0"/>
        <v>3890</v>
      </c>
    </row>
    <row r="22" spans="1:2" x14ac:dyDescent="0.25">
      <c r="A22" s="1">
        <v>22</v>
      </c>
      <c r="B22" s="1">
        <f t="shared" si="0"/>
        <v>4258</v>
      </c>
    </row>
    <row r="23" spans="1:2" x14ac:dyDescent="0.25">
      <c r="A23" s="1">
        <v>23</v>
      </c>
      <c r="B23" s="1">
        <f t="shared" si="0"/>
        <v>4643</v>
      </c>
    </row>
    <row r="24" spans="1:2" x14ac:dyDescent="0.25">
      <c r="A24" s="1">
        <v>24</v>
      </c>
      <c r="B24" s="1">
        <f t="shared" si="0"/>
        <v>5045</v>
      </c>
    </row>
    <row r="25" spans="1:2" x14ac:dyDescent="0.25">
      <c r="A25" s="1">
        <v>25</v>
      </c>
      <c r="B25" s="1">
        <f t="shared" si="0"/>
        <v>5464</v>
      </c>
    </row>
    <row r="26" spans="1:2" x14ac:dyDescent="0.25">
      <c r="A26" s="1">
        <v>26</v>
      </c>
      <c r="B26" s="1">
        <f t="shared" si="0"/>
        <v>5900</v>
      </c>
    </row>
    <row r="27" spans="1:2" x14ac:dyDescent="0.25">
      <c r="A27" s="1">
        <v>27</v>
      </c>
      <c r="B27" s="1">
        <f t="shared" si="0"/>
        <v>6353</v>
      </c>
    </row>
    <row r="28" spans="1:2" x14ac:dyDescent="0.25">
      <c r="A28" s="1">
        <v>28</v>
      </c>
      <c r="B28" s="1">
        <f t="shared" si="0"/>
        <v>6823</v>
      </c>
    </row>
    <row r="29" spans="1:2" x14ac:dyDescent="0.25">
      <c r="A29" s="1">
        <v>29</v>
      </c>
      <c r="B29" s="1">
        <f t="shared" si="0"/>
        <v>7310</v>
      </c>
    </row>
    <row r="30" spans="1:2" x14ac:dyDescent="0.25">
      <c r="A30" s="1">
        <v>30</v>
      </c>
      <c r="B30" s="1">
        <f t="shared" si="0"/>
        <v>7814</v>
      </c>
    </row>
    <row r="31" spans="1:2" x14ac:dyDescent="0.25">
      <c r="A31" s="1">
        <v>31</v>
      </c>
      <c r="B31" s="1">
        <f t="shared" si="0"/>
        <v>8335</v>
      </c>
    </row>
    <row r="32" spans="1:2" x14ac:dyDescent="0.25">
      <c r="A32" s="1">
        <v>32</v>
      </c>
      <c r="B32" s="1">
        <f t="shared" si="0"/>
        <v>8873</v>
      </c>
    </row>
    <row r="33" spans="1:2" x14ac:dyDescent="0.25">
      <c r="A33" s="1">
        <v>33</v>
      </c>
      <c r="B33" s="1">
        <f t="shared" si="0"/>
        <v>9428</v>
      </c>
    </row>
    <row r="34" spans="1:2" x14ac:dyDescent="0.25">
      <c r="A34" s="1">
        <v>34</v>
      </c>
      <c r="B34" s="1">
        <f t="shared" si="0"/>
        <v>10000</v>
      </c>
    </row>
    <row r="35" spans="1:2" x14ac:dyDescent="0.25">
      <c r="A35" s="1">
        <v>35</v>
      </c>
      <c r="B35" s="1">
        <f t="shared" si="0"/>
        <v>10589</v>
      </c>
    </row>
    <row r="36" spans="1:2" x14ac:dyDescent="0.25">
      <c r="A36" s="1">
        <v>36</v>
      </c>
      <c r="B36" s="1">
        <f t="shared" si="0"/>
        <v>11195</v>
      </c>
    </row>
    <row r="37" spans="1:2" x14ac:dyDescent="0.25">
      <c r="A37" s="1">
        <v>37</v>
      </c>
      <c r="B37" s="1">
        <f t="shared" si="0"/>
        <v>11818</v>
      </c>
    </row>
    <row r="38" spans="1:2" x14ac:dyDescent="0.25">
      <c r="A38" s="1">
        <v>38</v>
      </c>
      <c r="B38" s="1">
        <f t="shared" si="0"/>
        <v>12458</v>
      </c>
    </row>
    <row r="39" spans="1:2" x14ac:dyDescent="0.25">
      <c r="A39" s="1">
        <v>39</v>
      </c>
      <c r="B39" s="1">
        <f t="shared" si="0"/>
        <v>13115</v>
      </c>
    </row>
    <row r="40" spans="1:2" x14ac:dyDescent="0.25">
      <c r="A40" s="1">
        <v>40</v>
      </c>
      <c r="B40" s="1">
        <f t="shared" si="0"/>
        <v>13789</v>
      </c>
    </row>
    <row r="41" spans="1:2" x14ac:dyDescent="0.25">
      <c r="A41" s="1">
        <v>41</v>
      </c>
      <c r="B41" s="1">
        <f t="shared" si="0"/>
        <v>14480</v>
      </c>
    </row>
    <row r="42" spans="1:2" x14ac:dyDescent="0.25">
      <c r="A42" s="1">
        <v>42</v>
      </c>
      <c r="B42" s="1">
        <f t="shared" si="0"/>
        <v>15188</v>
      </c>
    </row>
    <row r="43" spans="1:2" x14ac:dyDescent="0.25">
      <c r="A43" s="1">
        <v>43</v>
      </c>
      <c r="B43" s="1">
        <f t="shared" si="0"/>
        <v>15913</v>
      </c>
    </row>
    <row r="44" spans="1:2" x14ac:dyDescent="0.25">
      <c r="A44" s="1">
        <v>44</v>
      </c>
      <c r="B44" s="1">
        <f t="shared" si="0"/>
        <v>16655</v>
      </c>
    </row>
    <row r="45" spans="1:2" x14ac:dyDescent="0.25">
      <c r="A45" s="1">
        <v>45</v>
      </c>
      <c r="B45" s="1">
        <f t="shared" si="0"/>
        <v>17414</v>
      </c>
    </row>
    <row r="46" spans="1:2" x14ac:dyDescent="0.25">
      <c r="A46" s="1">
        <v>46</v>
      </c>
      <c r="B46" s="1">
        <f t="shared" si="0"/>
        <v>18190</v>
      </c>
    </row>
    <row r="47" spans="1:2" x14ac:dyDescent="0.25">
      <c r="A47" s="1">
        <v>47</v>
      </c>
      <c r="B47" s="1">
        <f t="shared" si="0"/>
        <v>18983</v>
      </c>
    </row>
    <row r="48" spans="1:2" x14ac:dyDescent="0.25">
      <c r="A48" s="1">
        <v>48</v>
      </c>
      <c r="B48" s="1">
        <f t="shared" si="0"/>
        <v>19793</v>
      </c>
    </row>
    <row r="49" spans="1:2" x14ac:dyDescent="0.25">
      <c r="A49" s="1">
        <v>49</v>
      </c>
      <c r="B49" s="1">
        <f t="shared" si="0"/>
        <v>20620</v>
      </c>
    </row>
    <row r="50" spans="1:2" x14ac:dyDescent="0.25">
      <c r="A50" s="1">
        <v>50</v>
      </c>
      <c r="B50" s="1">
        <f t="shared" si="0"/>
        <v>21464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辰峰 王</cp:lastModifiedBy>
  <dcterms:created xsi:type="dcterms:W3CDTF">2015-01-15T16:55:01Z</dcterms:created>
  <dcterms:modified xsi:type="dcterms:W3CDTF">2024-01-21T03:07:06Z</dcterms:modified>
</cp:coreProperties>
</file>